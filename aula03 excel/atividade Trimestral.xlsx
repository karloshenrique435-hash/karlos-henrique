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03 excel\"/>
    </mc:Choice>
  </mc:AlternateContent>
  <xr:revisionPtr revIDLastSave="0" documentId="13_ncr:1_{7D307DDD-B05F-437F-8B93-0A723EBD5361}" xr6:coauthVersionLast="47" xr6:coauthVersionMax="47" xr10:uidLastSave="{00000000-0000-0000-0000-000000000000}"/>
  <bookViews>
    <workbookView xWindow="14295" yWindow="0" windowWidth="14610" windowHeight="15585" firstSheet="2" activeTab="2" xr2:uid="{C68FDCCB-B8FC-4987-A0C8-AC903749D8A8}"/>
  </bookViews>
  <sheets>
    <sheet name="Atividade Trimestral 1" sheetId="3" r:id="rId1"/>
    <sheet name="Atividade Trimestral (2)" sheetId="5" r:id="rId2"/>
    <sheet name="Atividade Trimestral (3)" sheetId="6" r:id="rId3"/>
    <sheet name="Avaliação final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8" l="1"/>
  <c r="D8" i="8"/>
  <c r="D9" i="8"/>
  <c r="E13" i="8"/>
  <c r="E5" i="8"/>
  <c r="E6" i="8"/>
  <c r="E7" i="8"/>
  <c r="E8" i="8"/>
  <c r="E9" i="8"/>
  <c r="E10" i="8"/>
  <c r="E11" i="8"/>
  <c r="E12" i="8"/>
  <c r="B5" i="8"/>
  <c r="C5" i="8"/>
  <c r="F5" i="8" s="1"/>
  <c r="D5" i="8"/>
  <c r="B6" i="8"/>
  <c r="C6" i="8"/>
  <c r="D6" i="8"/>
  <c r="F6" i="8"/>
  <c r="B7" i="8"/>
  <c r="F7" i="8" s="1"/>
  <c r="C7" i="8"/>
  <c r="B8" i="8"/>
  <c r="C8" i="8"/>
  <c r="F8" i="8"/>
  <c r="B9" i="8"/>
  <c r="F9" i="8" s="1"/>
  <c r="C9" i="8"/>
  <c r="B10" i="8"/>
  <c r="C10" i="8"/>
  <c r="D10" i="8"/>
  <c r="F10" i="8"/>
  <c r="B11" i="8"/>
  <c r="C11" i="8"/>
  <c r="D11" i="8"/>
  <c r="F11" i="8"/>
  <c r="B12" i="8"/>
  <c r="F12" i="8" s="1"/>
  <c r="C12" i="8"/>
  <c r="D12" i="8"/>
  <c r="F4" i="8"/>
  <c r="E4" i="8"/>
  <c r="D4" i="8"/>
  <c r="C4" i="8"/>
  <c r="B4" i="8"/>
  <c r="B15" i="6"/>
  <c r="G13" i="6"/>
  <c r="G12" i="6"/>
  <c r="G11" i="6"/>
  <c r="G10" i="6"/>
  <c r="G9" i="6"/>
  <c r="G8" i="6"/>
  <c r="G7" i="6"/>
  <c r="G6" i="6"/>
  <c r="G5" i="6"/>
  <c r="B15" i="5"/>
  <c r="G13" i="5"/>
  <c r="G12" i="5"/>
  <c r="G11" i="5"/>
  <c r="G10" i="5"/>
  <c r="G9" i="5"/>
  <c r="G8" i="5"/>
  <c r="G7" i="5"/>
  <c r="G6" i="5"/>
  <c r="G5" i="5"/>
  <c r="B17" i="3"/>
  <c r="B15" i="3"/>
  <c r="G13" i="3"/>
  <c r="G12" i="3"/>
  <c r="B16" i="3" s="1"/>
  <c r="G11" i="3"/>
  <c r="G10" i="3"/>
  <c r="G9" i="3"/>
  <c r="G8" i="3"/>
  <c r="G7" i="3"/>
  <c r="G6" i="3"/>
  <c r="G5" i="3"/>
  <c r="B17" i="6" l="1"/>
  <c r="B16" i="6"/>
  <c r="B17" i="5"/>
  <c r="B16" i="5"/>
</calcChain>
</file>

<file path=xl/sharedStrings.xml><?xml version="1.0" encoding="utf-8"?>
<sst xmlns="http://schemas.openxmlformats.org/spreadsheetml/2006/main" count="85" uniqueCount="31">
  <si>
    <t>Escola fundamental</t>
  </si>
  <si>
    <t>Avaliação 1o. Trimestre</t>
  </si>
  <si>
    <t>andré Pinheiro</t>
  </si>
  <si>
    <t>Disciplinas</t>
  </si>
  <si>
    <t>Participação</t>
  </si>
  <si>
    <t>Trabalho</t>
  </si>
  <si>
    <t>Avaliação periodica</t>
  </si>
  <si>
    <t>Prova final</t>
  </si>
  <si>
    <t>No. De Faltas</t>
  </si>
  <si>
    <t>Média</t>
  </si>
  <si>
    <t>Matemática</t>
  </si>
  <si>
    <t>História</t>
  </si>
  <si>
    <t>Lingua portuguesa</t>
  </si>
  <si>
    <t>Geografia</t>
  </si>
  <si>
    <t>CiÊncias</t>
  </si>
  <si>
    <t>Educação Artisca</t>
  </si>
  <si>
    <t>Educação fisica</t>
  </si>
  <si>
    <t>Ensino Religioso</t>
  </si>
  <si>
    <t>Informatica</t>
  </si>
  <si>
    <t>total de Faltas</t>
  </si>
  <si>
    <t>Maior Nota</t>
  </si>
  <si>
    <t>Manor nota</t>
  </si>
  <si>
    <t>Escola Fundamental</t>
  </si>
  <si>
    <t>Aluno</t>
  </si>
  <si>
    <t>André Pinheiro</t>
  </si>
  <si>
    <t>1o. Trimestre</t>
  </si>
  <si>
    <t>2o. Trimestre</t>
  </si>
  <si>
    <t>3o. Trimestre</t>
  </si>
  <si>
    <t>Faltas</t>
  </si>
  <si>
    <t>Média final</t>
  </si>
  <si>
    <t>total de faltas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</si>
</sst>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2" fontId="0" fillId="0" borderId="1" xfId="0" applyNumberFormat="1" applyBorder="1"/>
    <xf numFmtId="164" fontId="1" fillId="0" borderId="1" xfId="0" applyNumberFormat="1" applyFont="1" applyBorder="1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Border="1"/>
    <xf numFmtId="0" fontId="0" fillId="3" borderId="0" xfId="0" applyFill="1"/>
    <xf numFmtId="0" fontId="2" fillId="3" borderId="0" xfId="0" applyFont="1" applyFill="1"/>
    <xf numFmtId="0" fontId="1" fillId="3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06A6-03B8-485E-A3D6-21A83BCDF3E7}">
  <sheetPr>
    <tabColor rgb="FF0070C0"/>
  </sheetPr>
  <dimension ref="A1:G18"/>
  <sheetViews>
    <sheetView workbookViewId="0">
      <selection activeCell="A3" sqref="A3:G17"/>
    </sheetView>
  </sheetViews>
  <sheetFormatPr defaultRowHeight="15" x14ac:dyDescent="0.25"/>
  <cols>
    <col min="1" max="1" width="16.7109375" customWidth="1"/>
    <col min="7" max="7" width="11.140625" customWidth="1"/>
  </cols>
  <sheetData>
    <row r="1" spans="1:7" x14ac:dyDescent="0.25">
      <c r="A1" s="8" t="s">
        <v>0</v>
      </c>
      <c r="B1" s="8"/>
      <c r="C1" s="8"/>
      <c r="D1" s="8"/>
      <c r="E1" s="8"/>
      <c r="F1" s="8"/>
      <c r="G1" s="8"/>
    </row>
    <row r="2" spans="1:7" x14ac:dyDescent="0.25">
      <c r="A2" s="8" t="s">
        <v>1</v>
      </c>
      <c r="B2" s="8"/>
      <c r="C2" s="8"/>
      <c r="D2" s="8"/>
      <c r="E2" s="8"/>
      <c r="F2" s="8"/>
      <c r="G2" s="8"/>
    </row>
    <row r="3" spans="1:7" ht="66.75" customHeight="1" x14ac:dyDescent="0.25">
      <c r="A3" s="7" t="s">
        <v>2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</row>
    <row r="4" spans="1:7" ht="54.75" customHeight="1" x14ac:dyDescent="0.25">
      <c r="A4" s="2" t="s">
        <v>3</v>
      </c>
      <c r="B4" s="9"/>
      <c r="C4" s="9"/>
      <c r="D4" s="9"/>
      <c r="E4" s="9"/>
      <c r="F4" s="9"/>
      <c r="G4" s="9"/>
    </row>
    <row r="5" spans="1:7" x14ac:dyDescent="0.25">
      <c r="A5" s="1" t="s">
        <v>10</v>
      </c>
      <c r="B5" s="1">
        <v>6.25</v>
      </c>
      <c r="C5" s="1">
        <v>7.25</v>
      </c>
      <c r="D5" s="1">
        <v>6</v>
      </c>
      <c r="E5" s="1">
        <v>5</v>
      </c>
      <c r="F5" s="1">
        <v>20</v>
      </c>
      <c r="G5" s="4">
        <f>AVERAGE(B5:E5)</f>
        <v>6.125</v>
      </c>
    </row>
    <row r="6" spans="1:7" x14ac:dyDescent="0.25">
      <c r="A6" s="1" t="s">
        <v>11</v>
      </c>
      <c r="B6" s="3">
        <v>4</v>
      </c>
      <c r="C6" s="1">
        <v>5.5</v>
      </c>
      <c r="D6" s="1">
        <v>6</v>
      </c>
      <c r="E6" s="1">
        <v>6</v>
      </c>
      <c r="F6" s="1">
        <v>6</v>
      </c>
      <c r="G6" s="4">
        <f t="shared" ref="G6:G13" si="0">AVERAGE(B6:E6)</f>
        <v>5.375</v>
      </c>
    </row>
    <row r="7" spans="1:7" x14ac:dyDescent="0.25">
      <c r="A7" s="1" t="s">
        <v>12</v>
      </c>
      <c r="B7" s="1">
        <v>6.25</v>
      </c>
      <c r="C7" s="1">
        <v>5.25</v>
      </c>
      <c r="D7" s="1">
        <v>8.25</v>
      </c>
      <c r="E7" s="1">
        <v>7</v>
      </c>
      <c r="F7" s="1">
        <v>5</v>
      </c>
      <c r="G7" s="4">
        <f t="shared" si="0"/>
        <v>6.6875</v>
      </c>
    </row>
    <row r="8" spans="1:7" x14ac:dyDescent="0.25">
      <c r="A8" s="1" t="s">
        <v>13</v>
      </c>
      <c r="B8" s="1">
        <v>5.5</v>
      </c>
      <c r="C8" s="1">
        <v>8</v>
      </c>
      <c r="D8" s="1">
        <v>6.5</v>
      </c>
      <c r="E8" s="1">
        <v>7.35</v>
      </c>
      <c r="F8" s="1">
        <v>0</v>
      </c>
      <c r="G8" s="4">
        <f t="shared" si="0"/>
        <v>6.8375000000000004</v>
      </c>
    </row>
    <row r="9" spans="1:7" x14ac:dyDescent="0.25">
      <c r="A9" s="1" t="s">
        <v>14</v>
      </c>
      <c r="B9" s="3">
        <v>7</v>
      </c>
      <c r="C9" s="1">
        <v>9.5</v>
      </c>
      <c r="D9" s="1">
        <v>8.25</v>
      </c>
      <c r="E9" s="1">
        <v>7</v>
      </c>
      <c r="F9" s="1">
        <v>0</v>
      </c>
      <c r="G9" s="4">
        <f t="shared" si="0"/>
        <v>7.9375</v>
      </c>
    </row>
    <row r="10" spans="1:7" x14ac:dyDescent="0.25">
      <c r="A10" s="1" t="s">
        <v>15</v>
      </c>
      <c r="B10" s="1">
        <v>9.25</v>
      </c>
      <c r="C10" s="1">
        <v>8</v>
      </c>
      <c r="D10" s="1">
        <v>9</v>
      </c>
      <c r="E10" s="1">
        <v>10</v>
      </c>
      <c r="F10" s="1">
        <v>2</v>
      </c>
      <c r="G10" s="4">
        <f t="shared" si="0"/>
        <v>9.0625</v>
      </c>
    </row>
    <row r="11" spans="1:7" x14ac:dyDescent="0.25">
      <c r="A11" s="1" t="s">
        <v>16</v>
      </c>
      <c r="B11" s="3">
        <v>8</v>
      </c>
      <c r="C11" s="1">
        <v>9.5</v>
      </c>
      <c r="D11" s="1">
        <v>8</v>
      </c>
      <c r="E11" s="1">
        <v>8</v>
      </c>
      <c r="F11" s="1">
        <v>0</v>
      </c>
      <c r="G11" s="4">
        <f t="shared" si="0"/>
        <v>8.375</v>
      </c>
    </row>
    <row r="12" spans="1:7" x14ac:dyDescent="0.25">
      <c r="A12" s="1" t="s">
        <v>17</v>
      </c>
      <c r="B12" s="1">
        <v>7.25</v>
      </c>
      <c r="C12" s="1">
        <v>8.25</v>
      </c>
      <c r="D12" s="1">
        <v>6.5</v>
      </c>
      <c r="E12" s="1">
        <v>9.25</v>
      </c>
      <c r="F12" s="1">
        <v>2</v>
      </c>
      <c r="G12" s="4">
        <f t="shared" si="0"/>
        <v>7.8125</v>
      </c>
    </row>
    <row r="13" spans="1:7" x14ac:dyDescent="0.25">
      <c r="A13" s="1" t="s">
        <v>18</v>
      </c>
      <c r="B13" s="3">
        <v>10</v>
      </c>
      <c r="C13" s="1">
        <v>8.25</v>
      </c>
      <c r="D13" s="1">
        <v>7</v>
      </c>
      <c r="E13" s="1">
        <v>9.5</v>
      </c>
      <c r="F13" s="1">
        <v>0</v>
      </c>
      <c r="G13" s="4">
        <f t="shared" si="0"/>
        <v>8.6875</v>
      </c>
    </row>
    <row r="15" spans="1:7" x14ac:dyDescent="0.25">
      <c r="A15" s="1" t="s">
        <v>19</v>
      </c>
      <c r="B15" s="6">
        <f>SUM(F5:F12)</f>
        <v>35</v>
      </c>
    </row>
    <row r="16" spans="1:7" x14ac:dyDescent="0.25">
      <c r="A16" s="1" t="s">
        <v>20</v>
      </c>
      <c r="B16" s="4">
        <f>MAX(G5:G13)</f>
        <v>9.0625</v>
      </c>
    </row>
    <row r="17" spans="1:2" x14ac:dyDescent="0.25">
      <c r="A17" s="1" t="s">
        <v>21</v>
      </c>
      <c r="B17" s="4">
        <f>MIN(G5:G13)</f>
        <v>5.375</v>
      </c>
    </row>
    <row r="18" spans="1:2" x14ac:dyDescent="0.25">
      <c r="B18" s="5"/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7E84-FBFB-4944-A4B7-9EA021626E20}">
  <sheetPr>
    <tabColor theme="4"/>
  </sheetPr>
  <dimension ref="A1:G18"/>
  <sheetViews>
    <sheetView workbookViewId="0">
      <selection activeCell="D13" sqref="D13"/>
    </sheetView>
  </sheetViews>
  <sheetFormatPr defaultRowHeight="15" x14ac:dyDescent="0.25"/>
  <cols>
    <col min="1" max="1" width="16.7109375" customWidth="1"/>
    <col min="7" max="7" width="11.140625" customWidth="1"/>
  </cols>
  <sheetData>
    <row r="1" spans="1:7" x14ac:dyDescent="0.25">
      <c r="A1" s="8" t="s">
        <v>0</v>
      </c>
      <c r="B1" s="8"/>
      <c r="C1" s="8"/>
      <c r="D1" s="8"/>
      <c r="E1" s="8"/>
      <c r="F1" s="8"/>
      <c r="G1" s="8"/>
    </row>
    <row r="2" spans="1:7" x14ac:dyDescent="0.25">
      <c r="A2" s="8" t="s">
        <v>1</v>
      </c>
      <c r="B2" s="8"/>
      <c r="C2" s="8"/>
      <c r="D2" s="8"/>
      <c r="E2" s="8"/>
      <c r="F2" s="8"/>
      <c r="G2" s="8"/>
    </row>
    <row r="3" spans="1:7" ht="66.75" customHeight="1" x14ac:dyDescent="0.25">
      <c r="A3" s="7" t="s">
        <v>2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</row>
    <row r="4" spans="1:7" ht="54.75" customHeight="1" x14ac:dyDescent="0.25">
      <c r="A4" s="2" t="s">
        <v>3</v>
      </c>
      <c r="B4" s="9"/>
      <c r="C4" s="9"/>
      <c r="D4" s="9"/>
      <c r="E4" s="9"/>
      <c r="F4" s="9"/>
      <c r="G4" s="9"/>
    </row>
    <row r="5" spans="1:7" x14ac:dyDescent="0.25">
      <c r="A5" s="1" t="s">
        <v>10</v>
      </c>
      <c r="B5" s="3">
        <v>7</v>
      </c>
      <c r="C5" s="3">
        <v>5</v>
      </c>
      <c r="D5" s="1">
        <v>5.5</v>
      </c>
      <c r="E5" s="1">
        <v>5.5</v>
      </c>
      <c r="F5" s="1">
        <v>21</v>
      </c>
      <c r="G5" s="4">
        <f>AVERAGE(B5:E5)</f>
        <v>5.75</v>
      </c>
    </row>
    <row r="6" spans="1:7" x14ac:dyDescent="0.25">
      <c r="A6" s="1" t="s">
        <v>11</v>
      </c>
      <c r="B6" s="3">
        <v>7</v>
      </c>
      <c r="C6" s="1">
        <v>6</v>
      </c>
      <c r="D6" s="1">
        <v>7</v>
      </c>
      <c r="E6" s="1">
        <v>7</v>
      </c>
      <c r="F6" s="1">
        <v>6</v>
      </c>
      <c r="G6" s="4">
        <f t="shared" ref="G6:G13" si="0">AVERAGE(B6:E6)</f>
        <v>6.75</v>
      </c>
    </row>
    <row r="7" spans="1:7" x14ac:dyDescent="0.25">
      <c r="A7" s="1" t="s">
        <v>12</v>
      </c>
      <c r="B7" s="1">
        <v>8</v>
      </c>
      <c r="C7" s="1">
        <v>6</v>
      </c>
      <c r="D7" s="1">
        <v>8</v>
      </c>
      <c r="E7" s="1">
        <v>7</v>
      </c>
      <c r="F7" s="1">
        <v>5</v>
      </c>
      <c r="G7" s="4">
        <f t="shared" si="0"/>
        <v>7.25</v>
      </c>
    </row>
    <row r="8" spans="1:7" x14ac:dyDescent="0.25">
      <c r="A8" s="1" t="s">
        <v>13</v>
      </c>
      <c r="B8" s="1">
        <v>7</v>
      </c>
      <c r="C8" s="1">
        <v>7</v>
      </c>
      <c r="D8" s="1">
        <v>7</v>
      </c>
      <c r="E8" s="1">
        <v>7.25</v>
      </c>
      <c r="F8" s="1">
        <v>0</v>
      </c>
      <c r="G8" s="4">
        <f t="shared" si="0"/>
        <v>7.0625</v>
      </c>
    </row>
    <row r="9" spans="1:7" x14ac:dyDescent="0.25">
      <c r="A9" s="1" t="s">
        <v>14</v>
      </c>
      <c r="B9" s="3">
        <v>7</v>
      </c>
      <c r="C9" s="1">
        <v>6</v>
      </c>
      <c r="D9" s="1">
        <v>8.25</v>
      </c>
      <c r="E9" s="1">
        <v>7</v>
      </c>
      <c r="F9" s="1">
        <v>0</v>
      </c>
      <c r="G9" s="4">
        <f t="shared" si="0"/>
        <v>7.0625</v>
      </c>
    </row>
    <row r="10" spans="1:7" x14ac:dyDescent="0.25">
      <c r="A10" s="1" t="s">
        <v>15</v>
      </c>
      <c r="B10" s="1">
        <v>7</v>
      </c>
      <c r="C10" s="1">
        <v>7</v>
      </c>
      <c r="D10" s="1">
        <v>6</v>
      </c>
      <c r="E10" s="1">
        <v>10</v>
      </c>
      <c r="F10" s="1">
        <v>2</v>
      </c>
      <c r="G10" s="4">
        <f t="shared" si="0"/>
        <v>7.5</v>
      </c>
    </row>
    <row r="11" spans="1:7" x14ac:dyDescent="0.25">
      <c r="A11" s="1" t="s">
        <v>16</v>
      </c>
      <c r="B11" s="3">
        <v>8</v>
      </c>
      <c r="C11" s="1">
        <v>7</v>
      </c>
      <c r="D11" s="1">
        <v>7</v>
      </c>
      <c r="E11" s="1">
        <v>7</v>
      </c>
      <c r="F11" s="1">
        <v>0</v>
      </c>
      <c r="G11" s="4">
        <f t="shared" si="0"/>
        <v>7.25</v>
      </c>
    </row>
    <row r="12" spans="1:7" x14ac:dyDescent="0.25">
      <c r="A12" s="1" t="s">
        <v>17</v>
      </c>
      <c r="B12" s="1">
        <v>7.25</v>
      </c>
      <c r="C12" s="1">
        <v>8</v>
      </c>
      <c r="D12" s="1">
        <v>7</v>
      </c>
      <c r="E12" s="1">
        <v>9.25</v>
      </c>
      <c r="F12" s="1">
        <v>2</v>
      </c>
      <c r="G12" s="4">
        <f t="shared" si="0"/>
        <v>7.875</v>
      </c>
    </row>
    <row r="13" spans="1:7" x14ac:dyDescent="0.25">
      <c r="A13" s="1" t="s">
        <v>18</v>
      </c>
      <c r="B13" s="3">
        <v>7</v>
      </c>
      <c r="C13" s="1">
        <v>7</v>
      </c>
      <c r="D13" s="1">
        <v>7</v>
      </c>
      <c r="E13" s="1">
        <v>9.5</v>
      </c>
      <c r="F13" s="1">
        <v>0</v>
      </c>
      <c r="G13" s="4">
        <f t="shared" si="0"/>
        <v>7.625</v>
      </c>
    </row>
    <row r="15" spans="1:7" x14ac:dyDescent="0.25">
      <c r="A15" s="1" t="s">
        <v>19</v>
      </c>
      <c r="B15" s="6">
        <f>SUM(F5:F12)</f>
        <v>36</v>
      </c>
    </row>
    <row r="16" spans="1:7" x14ac:dyDescent="0.25">
      <c r="A16" s="1" t="s">
        <v>20</v>
      </c>
      <c r="B16" s="4">
        <f>MAX(G5:G13)</f>
        <v>7.875</v>
      </c>
    </row>
    <row r="17" spans="1:2" x14ac:dyDescent="0.25">
      <c r="A17" s="1" t="s">
        <v>21</v>
      </c>
      <c r="B17" s="4">
        <f>MIN(G5:G13)</f>
        <v>5.75</v>
      </c>
    </row>
    <row r="18" spans="1:2" x14ac:dyDescent="0.25">
      <c r="B18" s="5"/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C451-5164-4CD3-86C6-92EFF3ED1FED}">
  <sheetPr>
    <tabColor rgb="FF002060"/>
  </sheetPr>
  <dimension ref="A1:G18"/>
  <sheetViews>
    <sheetView tabSelected="1" workbookViewId="0">
      <selection activeCell="A5" sqref="A5:A13"/>
    </sheetView>
  </sheetViews>
  <sheetFormatPr defaultRowHeight="15" x14ac:dyDescent="0.25"/>
  <cols>
    <col min="1" max="1" width="16.7109375" customWidth="1"/>
    <col min="7" max="7" width="11.140625" customWidth="1"/>
  </cols>
  <sheetData>
    <row r="1" spans="1:7" x14ac:dyDescent="0.25">
      <c r="A1" s="8" t="s">
        <v>0</v>
      </c>
      <c r="B1" s="8"/>
      <c r="C1" s="8"/>
      <c r="D1" s="8"/>
      <c r="E1" s="8"/>
      <c r="F1" s="8"/>
      <c r="G1" s="8"/>
    </row>
    <row r="2" spans="1:7" x14ac:dyDescent="0.25">
      <c r="A2" s="8" t="s">
        <v>1</v>
      </c>
      <c r="B2" s="8"/>
      <c r="C2" s="8"/>
      <c r="D2" s="8"/>
      <c r="E2" s="8"/>
      <c r="F2" s="8"/>
      <c r="G2" s="8"/>
    </row>
    <row r="3" spans="1:7" ht="66.75" customHeight="1" x14ac:dyDescent="0.25">
      <c r="A3" s="7" t="s">
        <v>2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</row>
    <row r="4" spans="1:7" ht="54.75" customHeight="1" x14ac:dyDescent="0.25">
      <c r="A4" s="2" t="s">
        <v>3</v>
      </c>
      <c r="B4" s="9"/>
      <c r="C4" s="9"/>
      <c r="D4" s="9"/>
      <c r="E4" s="9"/>
      <c r="F4" s="9"/>
      <c r="G4" s="9"/>
    </row>
    <row r="5" spans="1:7" x14ac:dyDescent="0.25">
      <c r="A5" s="1" t="s">
        <v>10</v>
      </c>
      <c r="B5" s="3">
        <v>5</v>
      </c>
      <c r="C5" s="3">
        <v>5</v>
      </c>
      <c r="D5" s="1">
        <v>4</v>
      </c>
      <c r="E5" s="1">
        <v>4</v>
      </c>
      <c r="F5" s="1">
        <v>1</v>
      </c>
      <c r="G5" s="4">
        <f>AVERAGE(B5:E5)</f>
        <v>4.5</v>
      </c>
    </row>
    <row r="6" spans="1:7" x14ac:dyDescent="0.25">
      <c r="A6" s="1" t="s">
        <v>11</v>
      </c>
      <c r="B6" s="3">
        <v>8</v>
      </c>
      <c r="C6" s="1">
        <v>6</v>
      </c>
      <c r="D6" s="1">
        <v>6</v>
      </c>
      <c r="E6" s="1">
        <v>8</v>
      </c>
      <c r="F6" s="1">
        <v>2</v>
      </c>
      <c r="G6" s="4">
        <f t="shared" ref="G6:G13" si="0">AVERAGE(B6:E6)</f>
        <v>7</v>
      </c>
    </row>
    <row r="7" spans="1:7" x14ac:dyDescent="0.25">
      <c r="A7" s="1" t="s">
        <v>12</v>
      </c>
      <c r="B7" s="1">
        <v>6.25</v>
      </c>
      <c r="C7" s="1">
        <v>5.25</v>
      </c>
      <c r="D7" s="1">
        <v>8.25</v>
      </c>
      <c r="E7" s="1">
        <v>7</v>
      </c>
      <c r="F7" s="1">
        <v>1</v>
      </c>
      <c r="G7" s="4">
        <f t="shared" si="0"/>
        <v>6.6875</v>
      </c>
    </row>
    <row r="8" spans="1:7" x14ac:dyDescent="0.25">
      <c r="A8" s="1" t="s">
        <v>13</v>
      </c>
      <c r="B8" s="1">
        <v>5.5</v>
      </c>
      <c r="C8" s="1">
        <v>8</v>
      </c>
      <c r="D8" s="1">
        <v>6.5</v>
      </c>
      <c r="E8" s="1">
        <v>7.25</v>
      </c>
      <c r="F8" s="1">
        <v>2</v>
      </c>
      <c r="G8" s="4">
        <f t="shared" si="0"/>
        <v>6.8125</v>
      </c>
    </row>
    <row r="9" spans="1:7" x14ac:dyDescent="0.25">
      <c r="A9" s="1" t="s">
        <v>14</v>
      </c>
      <c r="B9" s="3">
        <v>7</v>
      </c>
      <c r="C9" s="1">
        <v>9.5</v>
      </c>
      <c r="D9" s="1">
        <v>8.25</v>
      </c>
      <c r="E9" s="1">
        <v>7</v>
      </c>
      <c r="F9" s="1">
        <v>1</v>
      </c>
      <c r="G9" s="4">
        <f t="shared" si="0"/>
        <v>7.9375</v>
      </c>
    </row>
    <row r="10" spans="1:7" x14ac:dyDescent="0.25">
      <c r="A10" s="1" t="s">
        <v>15</v>
      </c>
      <c r="B10" s="1">
        <v>9.25</v>
      </c>
      <c r="C10" s="1">
        <v>8</v>
      </c>
      <c r="D10" s="1">
        <v>9</v>
      </c>
      <c r="E10" s="1">
        <v>10</v>
      </c>
      <c r="F10" s="1">
        <v>0</v>
      </c>
      <c r="G10" s="4">
        <f t="shared" si="0"/>
        <v>9.0625</v>
      </c>
    </row>
    <row r="11" spans="1:7" x14ac:dyDescent="0.25">
      <c r="A11" s="1" t="s">
        <v>16</v>
      </c>
      <c r="B11" s="3">
        <v>8</v>
      </c>
      <c r="C11" s="1">
        <v>10</v>
      </c>
      <c r="D11" s="1">
        <v>9</v>
      </c>
      <c r="E11" s="1">
        <v>9</v>
      </c>
      <c r="F11" s="1">
        <v>0</v>
      </c>
      <c r="G11" s="4">
        <f t="shared" si="0"/>
        <v>9</v>
      </c>
    </row>
    <row r="12" spans="1:7" x14ac:dyDescent="0.25">
      <c r="A12" s="1" t="s">
        <v>17</v>
      </c>
      <c r="B12" s="1">
        <v>7.25</v>
      </c>
      <c r="C12" s="1">
        <v>8.25</v>
      </c>
      <c r="D12" s="1">
        <v>6.5</v>
      </c>
      <c r="E12" s="1">
        <v>9.25</v>
      </c>
      <c r="F12" s="1">
        <v>2</v>
      </c>
      <c r="G12" s="4">
        <f t="shared" si="0"/>
        <v>7.8125</v>
      </c>
    </row>
    <row r="13" spans="1:7" x14ac:dyDescent="0.25">
      <c r="A13" s="1" t="s">
        <v>18</v>
      </c>
      <c r="B13" s="3">
        <v>10</v>
      </c>
      <c r="C13" s="1">
        <v>8.25</v>
      </c>
      <c r="D13" s="1">
        <v>7</v>
      </c>
      <c r="E13" s="1">
        <v>9.5</v>
      </c>
      <c r="F13" s="1">
        <v>0</v>
      </c>
      <c r="G13" s="4">
        <f t="shared" si="0"/>
        <v>8.6875</v>
      </c>
    </row>
    <row r="15" spans="1:7" x14ac:dyDescent="0.25">
      <c r="A15" s="1" t="s">
        <v>19</v>
      </c>
      <c r="B15" s="6">
        <f>SUM(F5:F12)</f>
        <v>9</v>
      </c>
    </row>
    <row r="16" spans="1:7" x14ac:dyDescent="0.25">
      <c r="A16" s="1" t="s">
        <v>20</v>
      </c>
      <c r="B16" s="4">
        <f>MAX(G5:G13)</f>
        <v>9.0625</v>
      </c>
    </row>
    <row r="17" spans="1:2" x14ac:dyDescent="0.25">
      <c r="A17" s="1" t="s">
        <v>21</v>
      </c>
      <c r="B17" s="4">
        <f>MIN(G5:G13)</f>
        <v>4.5</v>
      </c>
    </row>
    <row r="18" spans="1:2" x14ac:dyDescent="0.25">
      <c r="B18" s="5"/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0C92F-A46A-4A5D-8C44-489F6BF49762}">
  <sheetPr>
    <tabColor theme="5"/>
  </sheetPr>
  <dimension ref="A1:F13"/>
  <sheetViews>
    <sheetView workbookViewId="0">
      <selection activeCell="E21" sqref="E21"/>
    </sheetView>
  </sheetViews>
  <sheetFormatPr defaultRowHeight="15" x14ac:dyDescent="0.25"/>
  <cols>
    <col min="1" max="1" width="17" customWidth="1"/>
    <col min="2" max="2" width="14.140625" customWidth="1"/>
    <col min="3" max="3" width="13" customWidth="1"/>
    <col min="4" max="4" width="13.85546875" customWidth="1"/>
    <col min="6" max="6" width="11.85546875" customWidth="1"/>
  </cols>
  <sheetData>
    <row r="1" spans="1:6" x14ac:dyDescent="0.25">
      <c r="A1" s="11" t="s">
        <v>22</v>
      </c>
      <c r="B1" s="11"/>
      <c r="C1" s="11"/>
      <c r="D1" s="11"/>
      <c r="E1" s="11"/>
      <c r="F1" s="11"/>
    </row>
    <row r="2" spans="1:6" x14ac:dyDescent="0.25">
      <c r="A2" s="10" t="s">
        <v>23</v>
      </c>
      <c r="B2" s="10" t="s">
        <v>24</v>
      </c>
      <c r="C2" s="10"/>
      <c r="D2" s="10"/>
      <c r="E2" s="10"/>
      <c r="F2" s="10"/>
    </row>
    <row r="3" spans="1:6" x14ac:dyDescent="0.25">
      <c r="A3" s="10" t="s">
        <v>3</v>
      </c>
      <c r="B3" s="10" t="s">
        <v>25</v>
      </c>
      <c r="C3" s="10" t="s">
        <v>26</v>
      </c>
      <c r="D3" s="10" t="s">
        <v>27</v>
      </c>
      <c r="E3" s="10" t="s">
        <v>28</v>
      </c>
      <c r="F3" s="10" t="s">
        <v>29</v>
      </c>
    </row>
    <row r="4" spans="1:6" x14ac:dyDescent="0.25">
      <c r="A4" s="12" t="s">
        <v>10</v>
      </c>
      <c r="B4" s="16">
        <f>'Atividade Trimestral 1'!G5</f>
        <v>6.125</v>
      </c>
      <c r="C4" s="16">
        <f>'Atividade Trimestral (2)'!G5</f>
        <v>5.75</v>
      </c>
      <c r="D4" s="5">
        <f>'Atividade Trimestral (3)'!G5</f>
        <v>4.5</v>
      </c>
      <c r="E4" s="5">
        <f>'Atividade Trimestral 1'!F5+'Atividade Trimestral (2)'!F5+'Atividade Trimestral (3)'!F5</f>
        <v>42</v>
      </c>
      <c r="F4" s="16">
        <f>AVERAGE(B4:D4)</f>
        <v>5.458333333333333</v>
      </c>
    </row>
    <row r="5" spans="1:6" x14ac:dyDescent="0.25">
      <c r="A5" s="12" t="s">
        <v>11</v>
      </c>
      <c r="B5" s="16">
        <f>'Atividade Trimestral 1'!G6</f>
        <v>5.375</v>
      </c>
      <c r="C5" s="16">
        <f>'Atividade Trimestral (2)'!G6</f>
        <v>6.75</v>
      </c>
      <c r="D5" s="16">
        <f>'Atividade Trimestral (3)'!G6</f>
        <v>7</v>
      </c>
      <c r="E5" s="5">
        <f>'Atividade Trimestral 1'!F6+'Atividade Trimestral (2)'!F6+'Atividade Trimestral (3)'!F6</f>
        <v>14</v>
      </c>
      <c r="F5" s="16">
        <f t="shared" ref="F5:F12" si="0">AVERAGE(B5:D5)</f>
        <v>6.375</v>
      </c>
    </row>
    <row r="6" spans="1:6" x14ac:dyDescent="0.25">
      <c r="A6" s="12" t="s">
        <v>12</v>
      </c>
      <c r="B6" s="16">
        <f>'Atividade Trimestral 1'!G7</f>
        <v>6.6875</v>
      </c>
      <c r="C6" s="16">
        <f>'Atividade Trimestral (2)'!G7</f>
        <v>7.25</v>
      </c>
      <c r="D6" s="16">
        <f>'Atividade Trimestral (3)'!G7</f>
        <v>6.6875</v>
      </c>
      <c r="E6" s="5">
        <f>'Atividade Trimestral 1'!F7+'Atividade Trimestral (2)'!F7+'Atividade Trimestral (3)'!F7</f>
        <v>11</v>
      </c>
      <c r="F6" s="16">
        <f t="shared" si="0"/>
        <v>6.875</v>
      </c>
    </row>
    <row r="7" spans="1:6" x14ac:dyDescent="0.25">
      <c r="A7" s="12" t="s">
        <v>13</v>
      </c>
      <c r="B7" s="16">
        <f>'Atividade Trimestral 1'!G8</f>
        <v>6.8375000000000004</v>
      </c>
      <c r="C7" s="16">
        <f>'Atividade Trimestral (2)'!G8</f>
        <v>7.0625</v>
      </c>
      <c r="D7" s="16">
        <f>'Atividade Trimestral (3)'!G8</f>
        <v>6.8125</v>
      </c>
      <c r="E7" s="5">
        <f>'Atividade Trimestral 1'!F8+'Atividade Trimestral (2)'!F8+'Atividade Trimestral (3)'!F8</f>
        <v>2</v>
      </c>
      <c r="F7" s="16">
        <f t="shared" si="0"/>
        <v>6.9041666666666659</v>
      </c>
    </row>
    <row r="8" spans="1:6" x14ac:dyDescent="0.25">
      <c r="A8" s="12" t="s">
        <v>14</v>
      </c>
      <c r="B8" s="16">
        <f>'Atividade Trimestral 1'!G9</f>
        <v>7.9375</v>
      </c>
      <c r="C8" s="16">
        <f>'Atividade Trimestral (2)'!G9</f>
        <v>7.0625</v>
      </c>
      <c r="D8" s="16">
        <f>'Atividade Trimestral (3)'!G9</f>
        <v>7.9375</v>
      </c>
      <c r="E8" s="5">
        <f>'Atividade Trimestral 1'!F9+'Atividade Trimestral (2)'!F9+'Atividade Trimestral (3)'!F9</f>
        <v>1</v>
      </c>
      <c r="F8" s="16">
        <f t="shared" si="0"/>
        <v>7.645833333333333</v>
      </c>
    </row>
    <row r="9" spans="1:6" x14ac:dyDescent="0.25">
      <c r="A9" s="12" t="s">
        <v>15</v>
      </c>
      <c r="B9" s="16">
        <f>'Atividade Trimestral 1'!G10</f>
        <v>9.0625</v>
      </c>
      <c r="C9" s="16">
        <f>'Atividade Trimestral (2)'!G10</f>
        <v>7.5</v>
      </c>
      <c r="D9" s="16">
        <f>'Atividade Trimestral (3)'!G10</f>
        <v>9.0625</v>
      </c>
      <c r="E9" s="5">
        <f>'Atividade Trimestral 1'!F10+'Atividade Trimestral (2)'!F10+'Atividade Trimestral (3)'!F10</f>
        <v>4</v>
      </c>
      <c r="F9" s="16">
        <f t="shared" si="0"/>
        <v>8.5416666666666661</v>
      </c>
    </row>
    <row r="10" spans="1:6" x14ac:dyDescent="0.25">
      <c r="A10" s="12" t="s">
        <v>16</v>
      </c>
      <c r="B10" s="16">
        <f>'Atividade Trimestral 1'!G11</f>
        <v>8.375</v>
      </c>
      <c r="C10" s="16">
        <f>'Atividade Trimestral (2)'!G11</f>
        <v>7.25</v>
      </c>
      <c r="D10" s="16">
        <f>'Atividade Trimestral (3)'!G11</f>
        <v>9</v>
      </c>
      <c r="E10" s="5">
        <f>'Atividade Trimestral 1'!F11+'Atividade Trimestral (2)'!F11+'Atividade Trimestral (3)'!F11</f>
        <v>0</v>
      </c>
      <c r="F10" s="16">
        <f t="shared" si="0"/>
        <v>8.2083333333333339</v>
      </c>
    </row>
    <row r="11" spans="1:6" x14ac:dyDescent="0.25">
      <c r="A11" s="12" t="s">
        <v>17</v>
      </c>
      <c r="B11" s="16">
        <f>'Atividade Trimestral 1'!G12</f>
        <v>7.8125</v>
      </c>
      <c r="C11" s="16">
        <f>'Atividade Trimestral (2)'!G12</f>
        <v>7.875</v>
      </c>
      <c r="D11" s="16">
        <f>'Atividade Trimestral (3)'!G12</f>
        <v>7.8125</v>
      </c>
      <c r="E11" s="5">
        <f>'Atividade Trimestral 1'!F12+'Atividade Trimestral (2)'!F12+'Atividade Trimestral (3)'!F12</f>
        <v>6</v>
      </c>
      <c r="F11" s="16">
        <f t="shared" si="0"/>
        <v>7.833333333333333</v>
      </c>
    </row>
    <row r="12" spans="1:6" x14ac:dyDescent="0.25">
      <c r="A12" s="12" t="s">
        <v>18</v>
      </c>
      <c r="B12" s="16">
        <f>'Atividade Trimestral 1'!G13</f>
        <v>8.6875</v>
      </c>
      <c r="C12" s="16">
        <f>'Atividade Trimestral (2)'!G13</f>
        <v>7.625</v>
      </c>
      <c r="D12" s="16">
        <f>'Atividade Trimestral (3)'!G13</f>
        <v>8.6875</v>
      </c>
      <c r="E12" s="5">
        <f>'Atividade Trimestral 1'!F13+'Atividade Trimestral (2)'!F13+'Atividade Trimestral (3)'!F13</f>
        <v>0</v>
      </c>
      <c r="F12" s="16">
        <f t="shared" si="0"/>
        <v>8.3333333333333339</v>
      </c>
    </row>
    <row r="13" spans="1:6" x14ac:dyDescent="0.25">
      <c r="A13" s="13"/>
      <c r="B13" s="13"/>
      <c r="C13" s="13"/>
      <c r="D13" s="14" t="s">
        <v>30</v>
      </c>
      <c r="E13" s="15">
        <f>E4+E5+E6+E7+E8+E9+E10+E11+E12</f>
        <v>80</v>
      </c>
      <c r="F13" s="13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Atividade Trimestral 1</vt:lpstr>
      <vt:lpstr>Atividade Trimestral (2)</vt:lpstr>
      <vt:lpstr>Atividade Trimestral (3)</vt:lpstr>
      <vt:lpstr>Avaliação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2026-03-25T17:26:13Z</dcterms:created>
  <dcterms:modified xsi:type="dcterms:W3CDTF">2026-03-25T18:59:24Z</dcterms:modified>
</cp:coreProperties>
</file>