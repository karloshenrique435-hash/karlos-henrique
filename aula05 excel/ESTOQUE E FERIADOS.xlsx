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aula05 excel\"/>
    </mc:Choice>
  </mc:AlternateContent>
  <xr:revisionPtr revIDLastSave="0" documentId="8_{786A5334-799D-4B5D-827B-50B99D926DD3}" xr6:coauthVersionLast="47" xr6:coauthVersionMax="47" xr10:uidLastSave="{00000000-0000-0000-0000-000000000000}"/>
  <bookViews>
    <workbookView xWindow="-120" yWindow="-120" windowWidth="29040" windowHeight="15720" xr2:uid="{32FDCC0D-3947-49FB-856F-107D9C83ACF6}"/>
  </bookViews>
  <sheets>
    <sheet name="ESTOQUE" sheetId="1" r:id="rId1"/>
    <sheet name="FERIADO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C12" i="1" s="1"/>
  <c r="F12" i="1" s="1"/>
  <c r="C13" i="1" s="1"/>
  <c r="F13" i="1" s="1"/>
  <c r="C14" i="1" s="1"/>
  <c r="F14" i="1" s="1"/>
  <c r="C15" i="1" s="1"/>
  <c r="F15" i="1" s="1"/>
  <c r="C16" i="1" s="1"/>
  <c r="F16" i="1" s="1"/>
  <c r="C17" i="1" s="1"/>
  <c r="F17" i="1" s="1"/>
  <c r="C18" i="1" s="1"/>
  <c r="F18" i="1" s="1"/>
  <c r="C19" i="1" s="1"/>
  <c r="F19" i="1" s="1"/>
  <c r="C20" i="1" s="1"/>
  <c r="F20" i="1" s="1"/>
  <c r="C21" i="1" s="1"/>
  <c r="F21" i="1" s="1"/>
  <c r="C22" i="1" s="1"/>
  <c r="F22" i="1" s="1"/>
  <c r="C23" i="1" s="1"/>
  <c r="F23" i="1" s="1"/>
  <c r="C24" i="1" s="1"/>
  <c r="F24" i="1" s="1"/>
  <c r="C25" i="1" s="1"/>
  <c r="F25" i="1" s="1"/>
  <c r="C26" i="1" s="1"/>
  <c r="F26" i="1" s="1"/>
  <c r="C27" i="1" s="1"/>
  <c r="F27" i="1" s="1"/>
  <c r="C28" i="1" s="1"/>
  <c r="F28" i="1" s="1"/>
  <c r="C29" i="1" s="1"/>
  <c r="F29" i="1" s="1"/>
  <c r="C30" i="1" s="1"/>
  <c r="F30" i="1" s="1"/>
  <c r="C31" i="1" s="1"/>
  <c r="F31" i="1" s="1"/>
  <c r="C32" i="1" s="1"/>
  <c r="F32" i="1" s="1"/>
  <c r="C33" i="1" s="1"/>
  <c r="F33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F1" i="1"/>
  <c r="F5" i="1" s="1"/>
  <c r="F2" i="1" l="1"/>
  <c r="F3" i="1"/>
  <c r="F4" i="1"/>
</calcChain>
</file>

<file path=xl/sharedStrings.xml><?xml version="1.0" encoding="utf-8"?>
<sst xmlns="http://schemas.openxmlformats.org/spreadsheetml/2006/main" count="13" uniqueCount="13">
  <si>
    <t>DATA DE HOJE:</t>
  </si>
  <si>
    <t>DIA DE HOJE:</t>
  </si>
  <si>
    <t>NÚMERO DO MÊS DE HOJE:</t>
  </si>
  <si>
    <t>ANO DE HOJE:</t>
  </si>
  <si>
    <t>NÚMERO DO DIA DA SEMANA DE HOJE:</t>
  </si>
  <si>
    <t>CONTROLE DO ESTOQUE DE VASSOURAS</t>
  </si>
  <si>
    <t xml:space="preserve">MÊS: </t>
  </si>
  <si>
    <t>DATA</t>
  </si>
  <si>
    <t>DIA DA SEMANA</t>
  </si>
  <si>
    <t>ESTOQUE ANTERIOR</t>
  </si>
  <si>
    <t>QUANTIDADE ENTRADA</t>
  </si>
  <si>
    <t>QUANTIDADE SAÍDA</t>
  </si>
  <si>
    <t>ESTOQUE DO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</si>
</sst>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/>
    <xf numFmtId="14" fontId="1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Jaderson-Araujo/Excel/Aula%2005/VASSOURAS.xlsx" TargetMode="External"/><Relationship Id="rId2" Type="http://schemas.openxmlformats.org/officeDocument/2006/relationships/externalLinkPath" Target="file:///C:\Users\aluno\Documents\GitHub\Jaderson-Araujo\Excel\Aula%2005\VASSOURAS.xlsx" TargetMode="External"/><Relationship Id="rId1" Type="http://schemas.openxmlformats.org/officeDocument/2006/relationships/externalLinkPath" Target="/Users/aluno/Documents/GitHub/Jaderson-Araujo/Excel/Aula%2005/VASSOUR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STOQUE"/>
      <sheetName val="FERIADOS"/>
      <sheetName val="Funções"/>
      <sheetName val="Funções 2"/>
    </sheetNames>
    <sheetDataSet>
      <sheetData sheetId="0">
        <row r="8">
          <cell r="B8">
            <v>46112</v>
          </cell>
        </row>
      </sheetData>
      <sheetData sheetId="1">
        <row r="1">
          <cell r="A1">
            <v>44081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7A19-58BB-4D55-BF8F-84DB8B0A8459}">
  <dimension ref="A1:F33"/>
  <sheetViews>
    <sheetView tabSelected="1" zoomScale="80" zoomScaleNormal="80" workbookViewId="0">
      <selection activeCell="G1" sqref="G1"/>
    </sheetView>
  </sheetViews>
  <sheetFormatPr defaultRowHeight="15" x14ac:dyDescent="0.25"/>
  <cols>
    <col min="1" max="1" width="19.5703125" customWidth="1"/>
    <col min="2" max="2" width="20.28515625" customWidth="1"/>
    <col min="3" max="3" width="18.5703125" customWidth="1"/>
    <col min="5" max="5" width="17.7109375" customWidth="1"/>
    <col min="6" max="6" width="17.140625" customWidth="1"/>
  </cols>
  <sheetData>
    <row r="1" spans="1:6" x14ac:dyDescent="0.25">
      <c r="A1" s="1" t="s">
        <v>0</v>
      </c>
      <c r="B1" s="1"/>
      <c r="C1" s="1"/>
      <c r="D1" s="1"/>
      <c r="E1" s="1"/>
      <c r="F1" s="2">
        <f ca="1">TODAY()</f>
        <v>46112</v>
      </c>
    </row>
    <row r="2" spans="1:6" x14ac:dyDescent="0.25">
      <c r="A2" s="1" t="s">
        <v>1</v>
      </c>
      <c r="B2" s="1"/>
      <c r="C2" s="1"/>
      <c r="D2" s="1"/>
      <c r="E2" s="1"/>
      <c r="F2">
        <f ca="1">DAY(F1)</f>
        <v>31</v>
      </c>
    </row>
    <row r="3" spans="1:6" x14ac:dyDescent="0.25">
      <c r="A3" s="1" t="s">
        <v>2</v>
      </c>
      <c r="B3" s="1"/>
      <c r="C3" s="1"/>
      <c r="D3" s="1"/>
      <c r="E3" s="1"/>
      <c r="F3">
        <f ca="1">MONTH(F1)</f>
        <v>3</v>
      </c>
    </row>
    <row r="4" spans="1:6" x14ac:dyDescent="0.25">
      <c r="A4" s="1" t="s">
        <v>3</v>
      </c>
      <c r="B4" s="1"/>
      <c r="C4" s="1"/>
      <c r="D4" s="1"/>
      <c r="E4" s="1"/>
      <c r="F4">
        <f ca="1">YEAR(F1)</f>
        <v>2026</v>
      </c>
    </row>
    <row r="5" spans="1:6" x14ac:dyDescent="0.25">
      <c r="A5" s="1" t="s">
        <v>4</v>
      </c>
      <c r="B5" s="1"/>
      <c r="C5" s="1"/>
      <c r="D5" s="1"/>
      <c r="E5" s="1"/>
      <c r="F5">
        <f ca="1">WEEKDAY(F1)</f>
        <v>3</v>
      </c>
    </row>
    <row r="7" spans="1:6" ht="21" x14ac:dyDescent="0.35">
      <c r="A7" s="3" t="s">
        <v>5</v>
      </c>
      <c r="B7" s="3"/>
      <c r="C7" s="3"/>
      <c r="D7" s="3"/>
      <c r="E7" s="3"/>
      <c r="F7" s="3"/>
    </row>
    <row r="8" spans="1:6" x14ac:dyDescent="0.25">
      <c r="A8" s="4" t="s">
        <v>6</v>
      </c>
      <c r="B8" s="5">
        <v>46112</v>
      </c>
    </row>
    <row r="9" spans="1:6" x14ac:dyDescent="0.25">
      <c r="A9" s="4"/>
      <c r="B9" s="4"/>
    </row>
    <row r="10" spans="1:6" ht="60" x14ac:dyDescent="0.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</row>
    <row r="11" spans="1:6" x14ac:dyDescent="0.25">
      <c r="A11" s="7">
        <f>(WORKDAY.INTL([1]ESTOQUE!B8-1,1,1,[1]FERIADOS!A:A))</f>
        <v>46112</v>
      </c>
      <c r="B11" s="8">
        <v>46112</v>
      </c>
      <c r="C11" s="9">
        <v>10</v>
      </c>
      <c r="D11" s="9">
        <v>20</v>
      </c>
      <c r="E11" s="9">
        <v>15</v>
      </c>
      <c r="F11" s="9">
        <f>C11+D11-E11</f>
        <v>15</v>
      </c>
    </row>
    <row r="12" spans="1:6" x14ac:dyDescent="0.25">
      <c r="A12" s="7">
        <f>WORKDAY.INTL(A11,1,1)</f>
        <v>46113</v>
      </c>
      <c r="B12" s="8">
        <v>46113</v>
      </c>
      <c r="C12" s="9">
        <f>F11</f>
        <v>15</v>
      </c>
      <c r="D12" s="9">
        <v>5</v>
      </c>
      <c r="E12" s="9">
        <v>20</v>
      </c>
      <c r="F12" s="9">
        <f t="shared" ref="F12:F33" si="0">C12+D12-E12</f>
        <v>0</v>
      </c>
    </row>
    <row r="13" spans="1:6" x14ac:dyDescent="0.25">
      <c r="A13" s="7">
        <f t="shared" ref="A13:A33" si="1">WORKDAY.INTL(A12,1,1)</f>
        <v>46114</v>
      </c>
      <c r="B13" s="8">
        <v>46114</v>
      </c>
      <c r="C13" s="9">
        <f t="shared" ref="C13:C33" si="2">F12</f>
        <v>0</v>
      </c>
      <c r="D13" s="9">
        <v>10</v>
      </c>
      <c r="E13" s="9">
        <v>8</v>
      </c>
      <c r="F13" s="9">
        <f t="shared" si="0"/>
        <v>2</v>
      </c>
    </row>
    <row r="14" spans="1:6" x14ac:dyDescent="0.25">
      <c r="A14" s="7">
        <f t="shared" si="1"/>
        <v>46115</v>
      </c>
      <c r="B14" s="8">
        <v>46115</v>
      </c>
      <c r="C14" s="9">
        <f t="shared" si="2"/>
        <v>2</v>
      </c>
      <c r="D14" s="9">
        <v>23</v>
      </c>
      <c r="E14" s="9">
        <v>20</v>
      </c>
      <c r="F14" s="9">
        <f t="shared" si="0"/>
        <v>5</v>
      </c>
    </row>
    <row r="15" spans="1:6" x14ac:dyDescent="0.25">
      <c r="A15" s="7">
        <f t="shared" si="1"/>
        <v>46118</v>
      </c>
      <c r="B15" s="8">
        <v>46118</v>
      </c>
      <c r="C15" s="9">
        <f t="shared" si="2"/>
        <v>5</v>
      </c>
      <c r="D15" s="9">
        <v>25</v>
      </c>
      <c r="E15" s="9">
        <v>22</v>
      </c>
      <c r="F15" s="9">
        <f t="shared" si="0"/>
        <v>8</v>
      </c>
    </row>
    <row r="16" spans="1:6" x14ac:dyDescent="0.25">
      <c r="A16" s="7">
        <f t="shared" si="1"/>
        <v>46119</v>
      </c>
      <c r="B16" s="8">
        <v>46119</v>
      </c>
      <c r="C16" s="9">
        <f t="shared" si="2"/>
        <v>8</v>
      </c>
      <c r="D16" s="9">
        <v>12</v>
      </c>
      <c r="E16" s="9">
        <v>10</v>
      </c>
      <c r="F16" s="9">
        <f t="shared" si="0"/>
        <v>10</v>
      </c>
    </row>
    <row r="17" spans="1:6" x14ac:dyDescent="0.25">
      <c r="A17" s="7">
        <f t="shared" si="1"/>
        <v>46120</v>
      </c>
      <c r="B17" s="8">
        <v>46120</v>
      </c>
      <c r="C17" s="9">
        <f t="shared" si="2"/>
        <v>10</v>
      </c>
      <c r="D17" s="9">
        <v>20</v>
      </c>
      <c r="E17" s="9">
        <v>12</v>
      </c>
      <c r="F17" s="9">
        <f t="shared" si="0"/>
        <v>18</v>
      </c>
    </row>
    <row r="18" spans="1:6" x14ac:dyDescent="0.25">
      <c r="A18" s="7">
        <f t="shared" si="1"/>
        <v>46121</v>
      </c>
      <c r="B18" s="8">
        <v>46121</v>
      </c>
      <c r="C18" s="9">
        <f t="shared" si="2"/>
        <v>18</v>
      </c>
      <c r="D18" s="9">
        <v>2</v>
      </c>
      <c r="E18" s="9">
        <v>15</v>
      </c>
      <c r="F18" s="9">
        <f t="shared" si="0"/>
        <v>5</v>
      </c>
    </row>
    <row r="19" spans="1:6" x14ac:dyDescent="0.25">
      <c r="A19" s="7">
        <f t="shared" si="1"/>
        <v>46122</v>
      </c>
      <c r="B19" s="8">
        <v>46122</v>
      </c>
      <c r="C19" s="9">
        <f t="shared" si="2"/>
        <v>5</v>
      </c>
      <c r="D19" s="9">
        <v>13</v>
      </c>
      <c r="E19" s="9">
        <v>17</v>
      </c>
      <c r="F19" s="9">
        <f t="shared" si="0"/>
        <v>1</v>
      </c>
    </row>
    <row r="20" spans="1:6" x14ac:dyDescent="0.25">
      <c r="A20" s="7">
        <f t="shared" si="1"/>
        <v>46125</v>
      </c>
      <c r="B20" s="8">
        <v>46125</v>
      </c>
      <c r="C20" s="9">
        <f t="shared" si="2"/>
        <v>1</v>
      </c>
      <c r="D20" s="9">
        <v>20</v>
      </c>
      <c r="E20" s="9">
        <v>15</v>
      </c>
      <c r="F20" s="9">
        <f t="shared" si="0"/>
        <v>6</v>
      </c>
    </row>
    <row r="21" spans="1:6" x14ac:dyDescent="0.25">
      <c r="A21" s="7">
        <f t="shared" si="1"/>
        <v>46126</v>
      </c>
      <c r="B21" s="8">
        <v>46126</v>
      </c>
      <c r="C21" s="9">
        <f t="shared" si="2"/>
        <v>6</v>
      </c>
      <c r="D21" s="9">
        <v>22</v>
      </c>
      <c r="E21" s="9">
        <v>25</v>
      </c>
      <c r="F21" s="9">
        <f t="shared" si="0"/>
        <v>3</v>
      </c>
    </row>
    <row r="22" spans="1:6" x14ac:dyDescent="0.25">
      <c r="A22" s="7">
        <f t="shared" si="1"/>
        <v>46127</v>
      </c>
      <c r="B22" s="8">
        <v>46127</v>
      </c>
      <c r="C22" s="9">
        <f t="shared" si="2"/>
        <v>3</v>
      </c>
      <c r="D22" s="9">
        <v>30</v>
      </c>
      <c r="E22" s="9">
        <v>24</v>
      </c>
      <c r="F22" s="9">
        <f t="shared" si="0"/>
        <v>9</v>
      </c>
    </row>
    <row r="23" spans="1:6" x14ac:dyDescent="0.25">
      <c r="A23" s="7">
        <f t="shared" si="1"/>
        <v>46128</v>
      </c>
      <c r="B23" s="8">
        <v>46128</v>
      </c>
      <c r="C23" s="9">
        <f t="shared" si="2"/>
        <v>9</v>
      </c>
      <c r="D23" s="9">
        <v>45</v>
      </c>
      <c r="E23" s="9">
        <v>40</v>
      </c>
      <c r="F23" s="9">
        <f t="shared" si="0"/>
        <v>14</v>
      </c>
    </row>
    <row r="24" spans="1:6" x14ac:dyDescent="0.25">
      <c r="A24" s="7">
        <f t="shared" si="1"/>
        <v>46129</v>
      </c>
      <c r="B24" s="8">
        <v>46129</v>
      </c>
      <c r="C24" s="9">
        <f t="shared" si="2"/>
        <v>14</v>
      </c>
      <c r="D24" s="9">
        <v>12</v>
      </c>
      <c r="E24" s="9">
        <v>25</v>
      </c>
      <c r="F24" s="9">
        <f t="shared" si="0"/>
        <v>1</v>
      </c>
    </row>
    <row r="25" spans="1:6" x14ac:dyDescent="0.25">
      <c r="A25" s="7">
        <f t="shared" si="1"/>
        <v>46132</v>
      </c>
      <c r="B25" s="8">
        <v>46132</v>
      </c>
      <c r="C25" s="9">
        <f t="shared" si="2"/>
        <v>1</v>
      </c>
      <c r="D25" s="9">
        <v>20</v>
      </c>
      <c r="E25" s="9">
        <v>10</v>
      </c>
      <c r="F25" s="9">
        <f t="shared" si="0"/>
        <v>11</v>
      </c>
    </row>
    <row r="26" spans="1:6" x14ac:dyDescent="0.25">
      <c r="A26" s="7">
        <f t="shared" si="1"/>
        <v>46133</v>
      </c>
      <c r="B26" s="8">
        <v>46133</v>
      </c>
      <c r="C26" s="9">
        <f t="shared" si="2"/>
        <v>11</v>
      </c>
      <c r="D26" s="9">
        <v>22</v>
      </c>
      <c r="E26" s="9">
        <v>25</v>
      </c>
      <c r="F26" s="9">
        <f t="shared" si="0"/>
        <v>8</v>
      </c>
    </row>
    <row r="27" spans="1:6" x14ac:dyDescent="0.25">
      <c r="A27" s="7">
        <f t="shared" si="1"/>
        <v>46134</v>
      </c>
      <c r="B27" s="8">
        <v>46134</v>
      </c>
      <c r="C27" s="9">
        <f t="shared" si="2"/>
        <v>8</v>
      </c>
      <c r="D27" s="9">
        <v>25</v>
      </c>
      <c r="E27" s="9">
        <v>28</v>
      </c>
      <c r="F27" s="9">
        <f t="shared" si="0"/>
        <v>5</v>
      </c>
    </row>
    <row r="28" spans="1:6" x14ac:dyDescent="0.25">
      <c r="A28" s="7">
        <f t="shared" si="1"/>
        <v>46135</v>
      </c>
      <c r="B28" s="8">
        <v>46135</v>
      </c>
      <c r="C28" s="9">
        <f t="shared" si="2"/>
        <v>5</v>
      </c>
      <c r="D28" s="9">
        <v>16</v>
      </c>
      <c r="E28" s="9">
        <v>21</v>
      </c>
      <c r="F28" s="9">
        <f t="shared" si="0"/>
        <v>0</v>
      </c>
    </row>
    <row r="29" spans="1:6" x14ac:dyDescent="0.25">
      <c r="A29" s="7">
        <f t="shared" si="1"/>
        <v>46136</v>
      </c>
      <c r="B29" s="8">
        <v>46136</v>
      </c>
      <c r="C29" s="9">
        <f t="shared" si="2"/>
        <v>0</v>
      </c>
      <c r="D29" s="9">
        <v>35</v>
      </c>
      <c r="E29" s="9">
        <v>28</v>
      </c>
      <c r="F29" s="9">
        <f t="shared" si="0"/>
        <v>7</v>
      </c>
    </row>
    <row r="30" spans="1:6" x14ac:dyDescent="0.25">
      <c r="A30" s="7">
        <f t="shared" si="1"/>
        <v>46139</v>
      </c>
      <c r="B30" s="8">
        <v>46139</v>
      </c>
      <c r="C30" s="9">
        <f t="shared" si="2"/>
        <v>7</v>
      </c>
      <c r="D30" s="9">
        <v>13</v>
      </c>
      <c r="E30" s="9">
        <v>15</v>
      </c>
      <c r="F30" s="9">
        <f t="shared" si="0"/>
        <v>5</v>
      </c>
    </row>
    <row r="31" spans="1:6" x14ac:dyDescent="0.25">
      <c r="A31" s="7">
        <f t="shared" si="1"/>
        <v>46140</v>
      </c>
      <c r="B31" s="8">
        <v>46140</v>
      </c>
      <c r="C31" s="9">
        <f t="shared" si="2"/>
        <v>5</v>
      </c>
      <c r="D31" s="9">
        <v>25</v>
      </c>
      <c r="E31" s="9">
        <v>15</v>
      </c>
      <c r="F31" s="9">
        <f t="shared" si="0"/>
        <v>15</v>
      </c>
    </row>
    <row r="32" spans="1:6" x14ac:dyDescent="0.25">
      <c r="A32" s="7">
        <f t="shared" si="1"/>
        <v>46141</v>
      </c>
      <c r="B32" s="8">
        <v>46141</v>
      </c>
      <c r="C32" s="9">
        <f t="shared" si="2"/>
        <v>15</v>
      </c>
      <c r="D32" s="9">
        <v>5</v>
      </c>
      <c r="E32" s="9">
        <v>6</v>
      </c>
      <c r="F32" s="9">
        <f t="shared" si="0"/>
        <v>14</v>
      </c>
    </row>
    <row r="33" spans="1:6" x14ac:dyDescent="0.25">
      <c r="A33" s="7">
        <f t="shared" si="1"/>
        <v>46142</v>
      </c>
      <c r="B33" s="8">
        <v>46142</v>
      </c>
      <c r="C33" s="9">
        <f t="shared" si="2"/>
        <v>14</v>
      </c>
      <c r="D33" s="9">
        <v>5</v>
      </c>
      <c r="E33" s="9">
        <v>7</v>
      </c>
      <c r="F33" s="9">
        <f t="shared" si="0"/>
        <v>12</v>
      </c>
    </row>
  </sheetData>
  <mergeCells count="6">
    <mergeCell ref="A1:E1"/>
    <mergeCell ref="A2:E2"/>
    <mergeCell ref="A3:E3"/>
    <mergeCell ref="A4:E4"/>
    <mergeCell ref="A5:E5"/>
    <mergeCell ref="A7:F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572F-53B4-4D5D-9473-10B68D599290}">
  <dimension ref="A1"/>
  <sheetViews>
    <sheetView workbookViewId="0">
      <selection activeCell="B1" sqref="B1"/>
    </sheetView>
  </sheetViews>
  <sheetFormatPr defaultRowHeight="15" x14ac:dyDescent="0.25"/>
  <cols>
    <col min="1" max="1" width="13" customWidth="1"/>
  </cols>
  <sheetData>
    <row r="1" spans="1:1" x14ac:dyDescent="0.25">
      <c r="A1" s="2">
        <v>44081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ESTOQUE</vt:lpstr>
      <vt:lpstr>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2026-03-31T17:10:12Z</dcterms:created>
  <dcterms:modified xsi:type="dcterms:W3CDTF">2026-03-31T17:13:16Z</dcterms:modified>
</cp:coreProperties>
</file>